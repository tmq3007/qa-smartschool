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757575"/>
      <sz val="10"/>
    </font>
    <font>
      <name val="Arial"/>
      <b val="1"/>
      <color rgb="001565C0"/>
      <sz val="14"/>
    </font>
    <font>
      <name val="Arial"/>
      <i val="1"/>
      <color rgb="0075757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medium">
        <color rgb="001E88E5"/>
      </top>
      <bottom style="medium">
        <color rgb="001E88E5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E0E0E0"/>
      </top>
      <bottom style="double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right" vertical="center"/>
    </xf>
    <xf numFmtId="0" fontId="0" fillId="0" borderId="3" pivotButton="0" quotePrefix="0" xfId="0"/>
    <xf numFmtId="164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4" customWidth="1" min="4" max="4"/>
    <col width="26" customWidth="1" min="5" max="5"/>
    <col width="25" customWidth="1" min="6" max="6"/>
    <col width="25" customWidth="1" min="7" max="7"/>
    <col width="28" customWidth="1" min="8" max="8"/>
  </cols>
  <sheetData>
    <row r="1">
      <c r="A1" s="1" t="inlineStr">
        <is>
          <t>TRƯỜNG THPT QA SMARTSCHOOL</t>
        </is>
      </c>
    </row>
    <row r="2">
      <c r="A2" s="2" t="inlineStr">
        <is>
          <t>BẢNG THỐNG KÊ CHI TIẾT ĐIỂM SỐ MÔN HỌC: TIẾNG ANH</t>
        </is>
      </c>
    </row>
    <row r="3">
      <c r="A3" s="3" t="inlineStr">
        <is>
          <t>Khối lớp áp dụng: Lớp 11  —  Học kỳ 1  —  Năm học: 2025 - 2026</t>
        </is>
      </c>
    </row>
    <row r="4"/>
    <row r="5">
      <c r="A5" s="4" t="inlineStr">
        <is>
          <t>STT</t>
        </is>
      </c>
      <c r="B5" s="4" t="inlineStr">
        <is>
          <t>Mã Học Sinh</t>
        </is>
      </c>
      <c r="C5" s="4" t="inlineStr">
        <is>
          <t>Họ và Tên Học Sinh</t>
        </is>
      </c>
      <c r="D5" s="4" t="inlineStr">
        <is>
          <t>Điểm Miệng (Hệ số 1)</t>
        </is>
      </c>
      <c r="E5" s="4" t="inlineStr">
        <is>
          <t>Điểm 15 Phút (Hệ số 1)</t>
        </is>
      </c>
      <c r="F5" s="4" t="inlineStr">
        <is>
          <t>Điểm 1 Tiết (Hệ số 2)</t>
        </is>
      </c>
      <c r="G5" s="4" t="inlineStr">
        <is>
          <t>Điểm Học Kỳ (Hệ số 3)</t>
        </is>
      </c>
      <c r="H5" s="4" t="inlineStr">
        <is>
          <t>Điểm Trung Bình Môn</t>
        </is>
      </c>
    </row>
    <row r="6">
      <c r="A6" s="5" t="n">
        <v>1</v>
      </c>
      <c r="B6" s="5" t="inlineStr">
        <is>
          <t>HS1006</t>
        </is>
      </c>
      <c r="C6" s="6" t="inlineStr">
        <is>
          <t>Nguyễn Văn An</t>
        </is>
      </c>
      <c r="D6" s="5" t="n">
        <v>7</v>
      </c>
      <c r="E6" s="5" t="n">
        <v>6</v>
      </c>
      <c r="F6" s="5" t="n">
        <v>10</v>
      </c>
      <c r="G6" s="5" t="n">
        <v>8</v>
      </c>
      <c r="H6" s="7">
        <f>(D6+E6+F6*2+G6*3)/7</f>
        <v/>
      </c>
    </row>
    <row r="7">
      <c r="A7" s="8" t="n">
        <v>2</v>
      </c>
      <c r="B7" s="8" t="inlineStr">
        <is>
          <t>HS1007</t>
        </is>
      </c>
      <c r="C7" s="9" t="inlineStr">
        <is>
          <t>Trần Thị Bình</t>
        </is>
      </c>
      <c r="D7" s="8" t="n">
        <v>8</v>
      </c>
      <c r="E7" s="8" t="n">
        <v>7</v>
      </c>
      <c r="F7" s="8" t="n">
        <v>6</v>
      </c>
      <c r="G7" s="8" t="n">
        <v>6</v>
      </c>
      <c r="H7" s="10">
        <f>(D7+E7+F7*2+G7*3)/7</f>
        <v/>
      </c>
    </row>
    <row r="8">
      <c r="A8" s="5" t="n">
        <v>3</v>
      </c>
      <c r="B8" s="5" t="inlineStr">
        <is>
          <t>HS1008</t>
        </is>
      </c>
      <c r="C8" s="6" t="inlineStr">
        <is>
          <t>Lê Hoàng Cường</t>
        </is>
      </c>
      <c r="D8" s="5" t="n">
        <v>7</v>
      </c>
      <c r="E8" s="5" t="n">
        <v>10</v>
      </c>
      <c r="F8" s="5" t="n">
        <v>8</v>
      </c>
      <c r="G8" s="5" t="n">
        <v>6</v>
      </c>
      <c r="H8" s="7">
        <f>(D8+E8+F8*2+G8*3)/7</f>
        <v/>
      </c>
    </row>
    <row r="9">
      <c r="A9" s="8" t="n">
        <v>4</v>
      </c>
      <c r="B9" s="8" t="inlineStr">
        <is>
          <t>HS1009</t>
        </is>
      </c>
      <c r="C9" s="9" t="inlineStr">
        <is>
          <t>Phạm Minh Đức</t>
        </is>
      </c>
      <c r="D9" s="8" t="n">
        <v>7</v>
      </c>
      <c r="E9" s="8" t="n">
        <v>6</v>
      </c>
      <c r="F9" s="8" t="n">
        <v>6</v>
      </c>
      <c r="G9" s="8" t="n">
        <v>7</v>
      </c>
      <c r="H9" s="10">
        <f>(D9+E9+F9*2+G9*3)/7</f>
        <v/>
      </c>
    </row>
    <row r="10">
      <c r="A10" s="5" t="n">
        <v>5</v>
      </c>
      <c r="B10" s="5" t="inlineStr">
        <is>
          <t>HS1010</t>
        </is>
      </c>
      <c r="C10" s="6" t="inlineStr">
        <is>
          <t>Hoàng Thanh Hà</t>
        </is>
      </c>
      <c r="D10" s="5" t="n">
        <v>7</v>
      </c>
      <c r="E10" s="5" t="n">
        <v>10</v>
      </c>
      <c r="F10" s="5" t="n">
        <v>6</v>
      </c>
      <c r="G10" s="5" t="n">
        <v>10</v>
      </c>
      <c r="H10" s="7">
        <f>(D10+E10+F10*2+G10*3)/7</f>
        <v/>
      </c>
    </row>
    <row r="11">
      <c r="A11" s="8" t="n">
        <v>6</v>
      </c>
      <c r="B11" s="8" t="inlineStr">
        <is>
          <t>HS1011</t>
        </is>
      </c>
      <c r="C11" s="9" t="inlineStr">
        <is>
          <t>Vũ Huy Hoàng</t>
        </is>
      </c>
      <c r="D11" s="8" t="n">
        <v>10</v>
      </c>
      <c r="E11" s="8" t="n">
        <v>7</v>
      </c>
      <c r="F11" s="8" t="n">
        <v>8</v>
      </c>
      <c r="G11" s="8" t="n">
        <v>10</v>
      </c>
      <c r="H11" s="10">
        <f>(D11+E11+F11*2+G11*3)/7</f>
        <v/>
      </c>
    </row>
    <row r="12">
      <c r="A12" s="5" t="n">
        <v>7</v>
      </c>
      <c r="B12" s="5" t="inlineStr">
        <is>
          <t>HS1012</t>
        </is>
      </c>
      <c r="C12" s="6" t="inlineStr">
        <is>
          <t>Đỗ Lan Hương</t>
        </is>
      </c>
      <c r="D12" s="5" t="n">
        <v>9</v>
      </c>
      <c r="E12" s="5" t="n">
        <v>6</v>
      </c>
      <c r="F12" s="5" t="n">
        <v>6</v>
      </c>
      <c r="G12" s="5" t="n">
        <v>9</v>
      </c>
      <c r="H12" s="7">
        <f>(D12+E12+F12*2+G12*3)/7</f>
        <v/>
      </c>
    </row>
    <row r="13">
      <c r="A13" s="8" t="n">
        <v>8</v>
      </c>
      <c r="B13" s="8" t="inlineStr">
        <is>
          <t>HS1013</t>
        </is>
      </c>
      <c r="C13" s="9" t="inlineStr">
        <is>
          <t>Bùi Quốc Khánh</t>
        </is>
      </c>
      <c r="D13" s="8" t="n">
        <v>9</v>
      </c>
      <c r="E13" s="8" t="n">
        <v>8</v>
      </c>
      <c r="F13" s="8" t="n">
        <v>6</v>
      </c>
      <c r="G13" s="8" t="n">
        <v>7</v>
      </c>
      <c r="H13" s="10">
        <f>(D13+E13+F13*2+G13*3)/7</f>
        <v/>
      </c>
    </row>
    <row r="14">
      <c r="A14" s="5" t="n">
        <v>9</v>
      </c>
      <c r="B14" s="5" t="inlineStr">
        <is>
          <t>HS1014</t>
        </is>
      </c>
      <c r="C14" s="6" t="inlineStr">
        <is>
          <t>Ngô Phương Linh</t>
        </is>
      </c>
      <c r="D14" s="5" t="n">
        <v>9</v>
      </c>
      <c r="E14" s="5" t="n">
        <v>6</v>
      </c>
      <c r="F14" s="5" t="n">
        <v>5</v>
      </c>
      <c r="G14" s="5" t="n">
        <v>9</v>
      </c>
      <c r="H14" s="7">
        <f>(D14+E14+F14*2+G14*3)/7</f>
        <v/>
      </c>
    </row>
    <row r="15">
      <c r="A15" s="8" t="n">
        <v>10</v>
      </c>
      <c r="B15" s="8" t="inlineStr">
        <is>
          <t>HS1015</t>
        </is>
      </c>
      <c r="C15" s="9" t="inlineStr">
        <is>
          <t>Phan Văn Nam</t>
        </is>
      </c>
      <c r="D15" s="8" t="n">
        <v>7</v>
      </c>
      <c r="E15" s="8" t="n">
        <v>8</v>
      </c>
      <c r="F15" s="8" t="n">
        <v>7</v>
      </c>
      <c r="G15" s="8" t="n">
        <v>10</v>
      </c>
      <c r="H15" s="10">
        <f>(D15+E15+F15*2+G15*3)/7</f>
        <v/>
      </c>
    </row>
    <row r="16">
      <c r="A16" s="5" t="n">
        <v>11</v>
      </c>
      <c r="B16" s="5" t="inlineStr">
        <is>
          <t>HS1016</t>
        </is>
      </c>
      <c r="C16" s="6" t="inlineStr">
        <is>
          <t>Đặng Thị Quỳnh</t>
        </is>
      </c>
      <c r="D16" s="5" t="n">
        <v>9</v>
      </c>
      <c r="E16" s="5" t="n">
        <v>6</v>
      </c>
      <c r="F16" s="5" t="n">
        <v>10</v>
      </c>
      <c r="G16" s="5" t="n">
        <v>9</v>
      </c>
      <c r="H16" s="7">
        <f>(D16+E16+F16*2+G16*3)/7</f>
        <v/>
      </c>
    </row>
    <row r="17">
      <c r="A17" s="8" t="n">
        <v>12</v>
      </c>
      <c r="B17" s="8" t="inlineStr">
        <is>
          <t>HS1017</t>
        </is>
      </c>
      <c r="C17" s="9" t="inlineStr">
        <is>
          <t>Đoàn Minh Quân</t>
        </is>
      </c>
      <c r="D17" s="8" t="n">
        <v>7</v>
      </c>
      <c r="E17" s="8" t="n">
        <v>9</v>
      </c>
      <c r="F17" s="8" t="n">
        <v>5</v>
      </c>
      <c r="G17" s="8" t="n">
        <v>10</v>
      </c>
      <c r="H17" s="10">
        <f>(D17+E17+F17*2+G17*3)/7</f>
        <v/>
      </c>
    </row>
    <row r="18">
      <c r="A18" s="5" t="n">
        <v>13</v>
      </c>
      <c r="B18" s="5" t="inlineStr">
        <is>
          <t>HS1018</t>
        </is>
      </c>
      <c r="C18" s="6" t="inlineStr">
        <is>
          <t>Lý Mỹ Tâm</t>
        </is>
      </c>
      <c r="D18" s="5" t="n">
        <v>9</v>
      </c>
      <c r="E18" s="5" t="n">
        <v>10</v>
      </c>
      <c r="F18" s="5" t="n">
        <v>7</v>
      </c>
      <c r="G18" s="5" t="n">
        <v>10</v>
      </c>
      <c r="H18" s="7">
        <f>(D18+E18+F18*2+G18*3)/7</f>
        <v/>
      </c>
    </row>
    <row r="19">
      <c r="A19" s="8" t="n">
        <v>14</v>
      </c>
      <c r="B19" s="8" t="inlineStr">
        <is>
          <t>HS1019</t>
        </is>
      </c>
      <c r="C19" s="9" t="inlineStr">
        <is>
          <t>Mai Duy Tiến</t>
        </is>
      </c>
      <c r="D19" s="8" t="n">
        <v>8</v>
      </c>
      <c r="E19" s="8" t="n">
        <v>6</v>
      </c>
      <c r="F19" s="8" t="n">
        <v>5</v>
      </c>
      <c r="G19" s="8" t="n">
        <v>7</v>
      </c>
      <c r="H19" s="10">
        <f>(D19+E19+F19*2+G19*3)/7</f>
        <v/>
      </c>
    </row>
    <row r="20">
      <c r="A20" s="5" t="n">
        <v>15</v>
      </c>
      <c r="B20" s="5" t="inlineStr">
        <is>
          <t>HS1020</t>
        </is>
      </c>
      <c r="C20" s="6" t="inlineStr">
        <is>
          <t>Trịnh Quốc Tuấn</t>
        </is>
      </c>
      <c r="D20" s="5" t="n">
        <v>9</v>
      </c>
      <c r="E20" s="5" t="n">
        <v>6</v>
      </c>
      <c r="F20" s="5" t="n">
        <v>6</v>
      </c>
      <c r="G20" s="5" t="n">
        <v>6</v>
      </c>
      <c r="H20" s="7">
        <f>(D20+E20+F20*2+G20*3)/7</f>
        <v/>
      </c>
    </row>
    <row r="21">
      <c r="A21" s="11" t="inlineStr">
        <is>
          <t>ĐIỂM TRUNG BÌNH CẢ LỚP</t>
        </is>
      </c>
      <c r="B21" s="12" t="n"/>
      <c r="C21" s="12" t="n"/>
      <c r="D21" s="13">
        <f>AVERAGE(D6:D20)</f>
        <v/>
      </c>
      <c r="E21" s="13">
        <f>AVERAGE(E6:E20)</f>
        <v/>
      </c>
      <c r="F21" s="13">
        <f>AVERAGE(F6:F20)</f>
        <v/>
      </c>
      <c r="G21" s="13">
        <f>AVERAGE(G6:G20)</f>
        <v/>
      </c>
      <c r="H21" s="13">
        <f>AVERAGE(H6:H20)</f>
        <v/>
      </c>
    </row>
  </sheetData>
  <mergeCells count="1"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2026-05-31T14:55:32Z</dcterms:created>
  <dcterms:modified xmlns:dcterms="http://purl.org/dc/terms/" xmlns:xsi="http://www.w3.org/2001/XMLSchema-instance" xsi:type="dcterms:W3CDTF">2026-05-31T14:55:32Z</dcterms:modified>
</cp:coreProperties>
</file>